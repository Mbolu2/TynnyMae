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720" windowHeight="8740"/>
  </bookViews>
  <sheets>
    <sheet name="ITDD (Stratum)" sheetId="1" r:id="rId1"/>
  </sheets>
  <externalReferences>
    <externalReference r:id="rId2"/>
    <externalReference r:id="rId3"/>
    <externalReference r:id="rId4"/>
    <externalReference r:id="rId5"/>
  </externalReferences>
  <definedNames>
    <definedName name="_CCY1" localSheetId="0">'[1]Set-up'!$B$7</definedName>
    <definedName name="_CCY1">'[2]Set-up'!$B$7</definedName>
    <definedName name="_YE1" localSheetId="0">'[1]Set-up'!$B$30</definedName>
    <definedName name="_YE1">'[2]Set-up'!$B$30</definedName>
    <definedName name="_YE2" localSheetId="0">'[1]Set-up'!$C$30</definedName>
    <definedName name="_YE2">'[2]Set-up'!$C$30</definedName>
    <definedName name="_YE3" localSheetId="0">'[1]Set-up'!$D$30</definedName>
    <definedName name="_YE3">'[2]Set-up'!$D$30</definedName>
    <definedName name="_YE4" localSheetId="0">'[1]Set-up'!$G$30</definedName>
    <definedName name="_YE4">'[2]Set-up'!$G$30</definedName>
    <definedName name="CCY" localSheetId="0">'[1]Set-up'!$B$6</definedName>
    <definedName name="CCY">'[2]Set-up'!$B$6</definedName>
    <definedName name="Date">'[3]Data validation'!$C$3:$C$2559</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43260.4494791667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LME" localSheetId="0">'[1]Set-up'!$F$30</definedName>
    <definedName name="LME">'[2]Set-up'!$F$30</definedName>
    <definedName name="Month1" localSheetId="0">'[1]Set-up'!$B$37</definedName>
    <definedName name="Month1">'[2]Set-up'!$B$37</definedName>
    <definedName name="Month10" localSheetId="0">'[1]Set-up'!$K$37</definedName>
    <definedName name="Month10">'[2]Set-up'!$K$37</definedName>
    <definedName name="Month11" localSheetId="0">'[1]Set-up'!$L$37</definedName>
    <definedName name="Month11">'[2]Set-up'!$L$37</definedName>
    <definedName name="Month12" localSheetId="0">'[1]Set-up'!$M$37</definedName>
    <definedName name="Month12">'[2]Set-up'!$M$37</definedName>
    <definedName name="Month2" localSheetId="0">'[1]Set-up'!$C$37</definedName>
    <definedName name="Month2">'[2]Set-up'!$C$37</definedName>
    <definedName name="Month3" localSheetId="0">'[1]Set-up'!$D$37</definedName>
    <definedName name="Month3">'[2]Set-up'!$D$37</definedName>
    <definedName name="Month4" localSheetId="0">'[1]Set-up'!$E$37</definedName>
    <definedName name="Month4">'[2]Set-up'!$E$37</definedName>
    <definedName name="Month5" localSheetId="0">'[1]Set-up'!$F$37</definedName>
    <definedName name="Month5">'[2]Set-up'!$F$37</definedName>
    <definedName name="Month6" localSheetId="0">'[1]Set-up'!$G$37</definedName>
    <definedName name="Month6">'[2]Set-up'!$G$37</definedName>
    <definedName name="Month7" localSheetId="0">'[1]Set-up'!$H$37</definedName>
    <definedName name="Month7">'[2]Set-up'!$H$37</definedName>
    <definedName name="Month8" localSheetId="0">'[1]Set-up'!$I$37</definedName>
    <definedName name="Month8">'[2]Set-up'!$I$37</definedName>
    <definedName name="Month9" localSheetId="0">'[1]Set-up'!$J$37</definedName>
    <definedName name="Month9">'[2]Set-up'!$J$37</definedName>
    <definedName name="_xlnm.Print_Area" localSheetId="0">'ITDD (Stratum)'!$B$2:$H$23</definedName>
    <definedName name="PYME" localSheetId="0">'[1]Set-up'!$E$30</definedName>
    <definedName name="PYME">'[2]Set-up'!$E$30</definedName>
    <definedName name="rngDvalBFP" localSheetId="0">'[1]Set-up'!$D$98:$D$100</definedName>
    <definedName name="rngDvalBFP">'[2]Set-up'!$D$98:$D$100</definedName>
    <definedName name="rngDvalCY" localSheetId="0">'[1]Set-up'!$H$98:$H$107</definedName>
    <definedName name="rngDvalCY">'[2]Set-up'!$H$98:$H$107</definedName>
    <definedName name="rngDvalDenomination" localSheetId="0">'[1]Set-up'!$I$98:$I$103</definedName>
    <definedName name="rngDvalDenomination">'[2]Set-up'!$I$98:$I$103</definedName>
    <definedName name="rngDvalMonths" localSheetId="0">'[1]Set-up'!$C$98:$C$109</definedName>
    <definedName name="rngDvalMonths">'[2]Set-up'!$C$98:$C$109</definedName>
    <definedName name="rngDvalYTDNotation1" localSheetId="0">'[1]Set-up'!$E$98:$E$109</definedName>
    <definedName name="rngDvalYTDNotation1">'[2]Set-up'!$E$98:$E$109</definedName>
    <definedName name="rngDvalYTDNotation2" localSheetId="0">'[1]Set-up'!$F$98:$F$109</definedName>
    <definedName name="rngDvalYTDNotation2">'[2]Set-up'!$F$98:$F$109</definedName>
    <definedName name="rngSelCurrency" localSheetId="0">'[1]Set-up'!$B$4</definedName>
    <definedName name="rngSelCurrency">'[2]Set-up'!$B$4</definedName>
    <definedName name="Status2">[4]Sheet1!$B$2:$B$4</definedName>
    <definedName name="Year1" localSheetId="0">'[1]Set-up'!$B$14</definedName>
    <definedName name="Year1">'[2]Set-up'!$B$14</definedName>
    <definedName name="Year2" localSheetId="0">'[1]Set-up'!$C$14</definedName>
    <definedName name="Year2">'[2]Set-up'!$C$14</definedName>
    <definedName name="Year3" localSheetId="0">'[1]Set-up'!$D$14</definedName>
    <definedName name="Year3">'[2]Set-up'!$D$14</definedName>
    <definedName name="Year4" localSheetId="0">'[1]Set-up'!$E$14</definedName>
    <definedName name="Year4">'[2]Set-up'!$E$14</definedName>
    <definedName name="Year5" localSheetId="0">'[1]Set-up'!$F$14</definedName>
    <definedName name="Year5">'[2]Set-up'!$F$14</definedName>
    <definedName name="Year6" localSheetId="0">'[1]Set-up'!$G$14</definedName>
    <definedName name="Year6">'[2]Set-up'!$G$14</definedName>
    <definedName name="Year7" localSheetId="0">'[1]Set-up'!$H$14</definedName>
    <definedName name="Year7">'[2]Set-up'!$H$14</definedName>
    <definedName name="Year8" localSheetId="0">'[1]Set-up'!$I$14</definedName>
    <definedName name="Year8">'[2]Set-up'!$I$14</definedName>
    <definedName name="YTD1" localSheetId="0">'[1]Set-up'!$B$19</definedName>
    <definedName name="YTD1">'[2]Set-up'!$B$19</definedName>
    <definedName name="YTD2" localSheetId="0">'[1]Set-up'!$D$19</definedName>
    <definedName name="YTD2">'[2]Set-up'!$D$19</definedName>
    <definedName name="YTG1" localSheetId="0">'[1]Set-up'!$C$19</definedName>
    <definedName name="YTG1">'[2]Set-up'!$C$19</definedName>
    <definedName name="YTG2" localSheetId="0">'[1]Set-up'!$E$19</definedName>
    <definedName name="YTG2">'[2]Set-up'!$E$19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<sst xmlns="http://schemas.openxmlformats.org/spreadsheetml/2006/main" count="92" uniqueCount="39">
  <si>
    <t>Private and Confidential</t>
  </si>
  <si>
    <t xml:space="preserve"> IT Due Diligence Information Request List </t>
  </si>
  <si>
    <r>
      <rPr>
        <sz val="9"/>
        <color rgb="FF000000"/>
        <rFont val="Calibri Light"/>
        <charset val="134"/>
        <scheme val="major"/>
      </rPr>
      <t>The following is a list of documents and information needed to perform our IT due diligence procedures, although we may require additional information as our due diligence progresses. Unless indicated otherwise, provide the requested items for the full review periods (</t>
    </r>
    <r>
      <rPr>
        <b/>
        <sz val="9"/>
        <color rgb="FF000000"/>
        <rFont val="Calibri Light"/>
        <charset val="134"/>
        <scheme val="major"/>
      </rPr>
      <t>FY23, FY24, and the most recent FY25 YTD period</t>
    </r>
    <r>
      <rPr>
        <sz val="9"/>
        <color rgb="FF000000"/>
        <rFont val="Calibri Light"/>
        <charset val="134"/>
        <scheme val="major"/>
      </rPr>
      <t>) available. Additionally, provide the information in Excel format, where possible.</t>
    </r>
  </si>
  <si>
    <t>Status</t>
  </si>
  <si>
    <t xml:space="preserve">High </t>
  </si>
  <si>
    <t>Medium</t>
  </si>
  <si>
    <t>Count</t>
  </si>
  <si>
    <t>Information requested</t>
  </si>
  <si>
    <t>Closed</t>
  </si>
  <si>
    <t>Partial</t>
  </si>
  <si>
    <t>Open</t>
  </si>
  <si>
    <t>Please note that this list is not exhaustive as we might require additional requests in the course of our engagement</t>
  </si>
  <si>
    <t>S/N</t>
  </si>
  <si>
    <t>Information Request</t>
  </si>
  <si>
    <t>Periods covered</t>
  </si>
  <si>
    <t>Priority</t>
  </si>
  <si>
    <t>Stratum comments</t>
  </si>
  <si>
    <t>Heirs Tech comments</t>
  </si>
  <si>
    <t>List of application channels constituting the Stratum Open Digital Banking Platform</t>
  </si>
  <si>
    <t>Full Review Period</t>
  </si>
  <si>
    <t>High</t>
  </si>
  <si>
    <t xml:space="preserve">Names, Email addresses , and Phone numbers of the application channel owners to be interviewed </t>
  </si>
  <si>
    <t xml:space="preserve">Enterprise Architecture Documents/Portfolio/Diagrams (Infrastructure, application and Data) </t>
  </si>
  <si>
    <t>High-level AS-IS Security Architecture/Governance/Control &amp; Compliance</t>
  </si>
  <si>
    <t>IT Operating Model</t>
  </si>
  <si>
    <t>Overview of IT organization (Org Chart,  hierarchy levels, roles and responsibilities, location)</t>
  </si>
  <si>
    <t>IT Service Catalogue</t>
  </si>
  <si>
    <t>Cybersecurity Framework</t>
  </si>
  <si>
    <t>In-flight and planned digital initiatives</t>
  </si>
  <si>
    <t>IT SLA documentation</t>
  </si>
  <si>
    <t xml:space="preserve">Any existing cloud strategy document available. </t>
  </si>
  <si>
    <t>Data Strategy Document</t>
  </si>
  <si>
    <t xml:space="preserve">Business continuity plan / Disaster recovery strategy </t>
  </si>
  <si>
    <t>Standard Operating Procedures (SOP) for general operations, procument, vendor selection, contract agreement, and vendor onboarding</t>
  </si>
  <si>
    <t>Breakdown of IT Operating Cost from FY23 to date</t>
  </si>
  <si>
    <t>Breakdown of budgetary allocation for IT Costs from FY2023 to date</t>
  </si>
  <si>
    <t>Annual cost of IT cloud services? (If applicable) from FY23 to date</t>
  </si>
  <si>
    <t>Copies of all license and delivery agreements and/or arrangements relating to Software</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</si>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</sst>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 #,##0_);_(* \(#,##0\);_(* &quot; - &quot;_);_(* @_)"/>
    <numFmt numFmtId="179" formatCode="0.0%"/>
  </numFmts>
  <fonts count="43">
    <font>
      <sz val="9"/>
      <name val="Calibri"/>
      <charset val="134"/>
    </font>
    <font>
      <sz val="9"/>
      <name val="Calibri Light"/>
      <charset val="134"/>
      <scheme val="major"/>
    </font>
    <font>
      <b/>
      <sz val="9"/>
      <color theme="1"/>
      <name val="Calibri Light"/>
      <charset val="134"/>
      <scheme val="major"/>
    </font>
    <font>
      <sz val="9"/>
      <color theme="1"/>
      <name val="Calibri Light"/>
      <charset val="134"/>
      <scheme val="major"/>
    </font>
    <font>
      <b/>
      <sz val="9"/>
      <color theme="5"/>
      <name val="Calibri Light"/>
      <charset val="134"/>
      <scheme val="major"/>
    </font>
    <font>
      <b/>
      <sz val="9"/>
      <color rgb="FF000000"/>
      <name val="Calibri Light"/>
      <charset val="134"/>
      <scheme val="major"/>
    </font>
    <font>
      <sz val="9"/>
      <color rgb="FF000000"/>
      <name val="Calibri Light"/>
      <charset val="134"/>
      <scheme val="major"/>
    </font>
    <font>
      <b/>
      <sz val="10"/>
      <color theme="0"/>
      <name val="Calibri Light"/>
      <charset val="134"/>
      <scheme val="major"/>
    </font>
    <font>
      <b/>
      <sz val="10"/>
      <name val="Calibri Light"/>
      <charset val="134"/>
      <scheme val="major"/>
    </font>
    <font>
      <b/>
      <sz val="10"/>
      <color rgb="FF000000"/>
      <name val="Calibri Light"/>
      <charset val="134"/>
      <scheme val="major"/>
    </font>
    <font>
      <sz val="10"/>
      <name val="Calibri Light"/>
      <charset val="134"/>
      <scheme val="major"/>
    </font>
    <font>
      <b/>
      <i/>
      <sz val="9"/>
      <color theme="1"/>
      <name val="Calibri Light"/>
      <charset val="134"/>
      <scheme val="major"/>
    </font>
    <font>
      <b/>
      <sz val="9"/>
      <color theme="0"/>
      <name val="Calibri Light"/>
      <charset val="134"/>
      <scheme val="major"/>
    </font>
    <font>
      <b/>
      <sz val="9"/>
      <color rgb="FFFFFFFF"/>
      <name val="Calibri Light"/>
      <charset val="134"/>
      <scheme val="major"/>
    </font>
    <font>
      <sz val="10"/>
      <name val="Calibri Light"/>
      <charset val="134"/>
    </font>
    <font>
      <sz val="10"/>
      <name val="Calibri"/>
      <charset val="134"/>
    </font>
    <font>
      <sz val="10"/>
      <color rgb="FF000000"/>
      <name val="Calibri Light"/>
      <charset val="134"/>
      <scheme val="major"/>
    </font>
    <font>
      <b/>
      <sz val="9"/>
      <name val="Calibri Light"/>
      <charset val="134"/>
      <scheme val="maj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
      <name val="Arial"/>
      <charset val="134"/>
    </font>
    <font>
      <sz val="10"/>
      <color rgb="FF000000"/>
      <name val="Arial"/>
      <charset val="134"/>
    </font>
    <font>
      <sz val="11"/>
      <color theme="1"/>
      <name val="Calibri"/>
      <charset val="134"/>
      <scheme val="minor"/>
    </font>
    <font>
      <sz val="9"/>
      <name val="Verdana"/>
      <charset val="134"/>
    </font>
    <font>
      <sz val="9"/>
      <color rgb="FF000000"/>
      <name val="Verdana"/>
      <charset val="134"/>
    </font>
  </fonts>
  <fills count="40">
    <fill>
      <patternFill patternType="none"/>
    </fill>
    <fill>
      <patternFill patternType="gray125"/>
    </fill>
    <fill>
      <patternFill patternType="solid">
        <fgColor theme="4"/>
        <bgColor indexed="64"/>
      </patternFill>
    </fill>
    <fill>
      <patternFill patternType="solid">
        <fgColor rgb="FFFF0000"/>
        <bgColor indexed="64"/>
      </patternFill>
    </fill>
    <fill>
      <patternFill patternType="solid">
        <fgColor rgb="FF86BC25"/>
        <bgColor indexed="64"/>
      </patternFill>
    </fill>
    <fill>
      <patternFill patternType="solid">
        <fgColor rgb="FFFFFF00"/>
        <bgColor indexed="64"/>
      </patternFill>
    </fill>
    <fill>
      <patternFill patternType="solid">
        <fgColor theme="4" tint="0.399945066682943"/>
        <bgColor indexed="64"/>
      </patternFill>
    </fill>
    <fill>
      <patternFill patternType="solid">
        <fgColor theme="6"/>
        <bgColor indexed="64"/>
      </patternFill>
    </fill>
    <fill>
      <patternFill patternType="solid">
        <fgColor rgb="FFFF9B9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auto="1"/>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xf numFmtId="176"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177"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9" borderId="9"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0" applyNumberFormat="0" applyFill="0" applyAlignment="0" applyProtection="0">
      <alignment vertical="center"/>
    </xf>
    <xf numFmtId="0" fontId="25" fillId="0" borderId="10" applyNumberFormat="0" applyFill="0" applyAlignment="0" applyProtection="0">
      <alignment vertical="center"/>
    </xf>
    <xf numFmtId="0" fontId="26" fillId="0" borderId="11" applyNumberFormat="0" applyFill="0" applyAlignment="0" applyProtection="0">
      <alignment vertical="center"/>
    </xf>
    <xf numFmtId="0" fontId="26" fillId="0" borderId="0" applyNumberFormat="0" applyFill="0" applyBorder="0" applyAlignment="0" applyProtection="0">
      <alignment vertical="center"/>
    </xf>
    <xf numFmtId="0" fontId="27" fillId="10" borderId="12" applyNumberFormat="0" applyAlignment="0" applyProtection="0">
      <alignment vertical="center"/>
    </xf>
    <xf numFmtId="0" fontId="28" fillId="11" borderId="13" applyNumberFormat="0" applyAlignment="0" applyProtection="0">
      <alignment vertical="center"/>
    </xf>
    <xf numFmtId="0" fontId="29" fillId="11" borderId="12" applyNumberFormat="0" applyAlignment="0" applyProtection="0">
      <alignment vertical="center"/>
    </xf>
    <xf numFmtId="0" fontId="30" fillId="12" borderId="14" applyNumberFormat="0" applyAlignment="0" applyProtection="0">
      <alignment vertical="center"/>
    </xf>
    <xf numFmtId="0" fontId="31" fillId="0" borderId="15" applyNumberFormat="0" applyFill="0" applyAlignment="0" applyProtection="0">
      <alignment vertical="center"/>
    </xf>
    <xf numFmtId="0" fontId="32" fillId="0" borderId="16" applyNumberFormat="0" applyFill="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6" fillId="39" borderId="0" applyNumberFormat="0" applyBorder="0" applyAlignment="0" applyProtection="0">
      <alignment vertical="center"/>
    </xf>
    <xf numFmtId="0" fontId="38" fillId="0" borderId="0"/>
    <xf numFmtId="0" fontId="39" fillId="0" borderId="0"/>
    <xf numFmtId="0" fontId="40" fillId="0" borderId="0"/>
    <xf numFmtId="0" fontId="38" fillId="0" borderId="0"/>
    <xf numFmtId="0" fontId="41" fillId="0" borderId="0"/>
    <xf numFmtId="0" fontId="40" fillId="0" borderId="0"/>
    <xf numFmtId="0" fontId="42" fillId="0" borderId="0"/>
    <xf numFmtId="9" fontId="42" fillId="0" borderId="0" applyFont="0" applyFill="0" applyBorder="0" applyAlignment="0" applyProtection="0"/>
  </cellStyleXfs>
  <cellXfs count="51">
    <xf numFmtId="0" fontId="0" fillId="0" borderId="0" xfId="0"/>
    <xf numFmtId="0" fontId="1" fillId="0" borderId="0" xfId="0" applyFont="1"/>
    <xf numFmtId="0" fontId="1" fillId="0" borderId="0" xfId="52" applyFont="1"/>
    <xf numFmtId="0" fontId="1" fillId="0" borderId="0" xfId="0" applyFont="1" applyAlignment="1">
      <alignment vertical="top"/>
    </xf>
    <xf numFmtId="0" fontId="2" fillId="0" borderId="0" xfId="54" applyFont="1" applyAlignment="1">
      <alignment horizontal="center"/>
    </xf>
    <xf numFmtId="0" fontId="3" fillId="0" borderId="0" xfId="54" applyFont="1"/>
    <xf numFmtId="0" fontId="3" fillId="0" borderId="0" xfId="54" applyFont="1" applyAlignment="1">
      <alignment wrapText="1"/>
    </xf>
    <xf numFmtId="0" fontId="3" fillId="0" borderId="0" xfId="54" applyFont="1" applyAlignment="1">
      <alignment horizontal="center" wrapText="1"/>
    </xf>
    <xf numFmtId="0" fontId="4" fillId="0" borderId="0" xfId="0" applyFont="1"/>
    <xf numFmtId="0" fontId="2" fillId="0" borderId="0" xfId="53" applyFont="1" applyAlignment="1">
      <alignment wrapText="1"/>
    </xf>
    <xf numFmtId="0" fontId="5" fillId="0" borderId="0" xfId="0" applyFont="1" applyAlignment="1">
      <alignment horizontal="left" vertical="center"/>
    </xf>
    <xf numFmtId="0" fontId="1" fillId="0" borderId="0" xfId="0" applyFont="1" applyAlignment="1">
      <alignment horizontal="left" vertical="top" wrapText="1"/>
    </xf>
    <xf numFmtId="0" fontId="6" fillId="0" borderId="0" xfId="0" applyFont="1" applyAlignment="1">
      <alignment horizontal="left" vertical="center" wrapText="1"/>
    </xf>
    <xf numFmtId="0" fontId="7" fillId="2" borderId="0" xfId="55" applyFont="1" applyFill="1" applyAlignment="1">
      <alignment horizontal="left" vertical="center"/>
    </xf>
    <xf numFmtId="0" fontId="8" fillId="3" borderId="0" xfId="55" applyFont="1" applyFill="1" applyAlignment="1">
      <alignment horizontal="center" vertical="center"/>
    </xf>
    <xf numFmtId="0" fontId="9" fillId="0" borderId="0" xfId="55" applyFont="1" applyAlignment="1">
      <alignment horizontal="left" vertical="center"/>
    </xf>
    <xf numFmtId="0" fontId="10" fillId="0" borderId="0" xfId="49" applyFont="1" applyAlignment="1">
      <alignment horizontal="center" vertical="top"/>
    </xf>
    <xf numFmtId="0" fontId="8" fillId="0" borderId="0" xfId="49" applyFont="1" applyAlignment="1">
      <alignment horizontal="center" vertical="top"/>
    </xf>
    <xf numFmtId="0" fontId="8" fillId="0" borderId="0" xfId="55" applyFont="1"/>
    <xf numFmtId="0" fontId="11" fillId="0" borderId="0" xfId="49" applyFont="1" applyAlignment="1">
      <alignment horizontal="left" vertical="center"/>
    </xf>
    <xf numFmtId="0" fontId="12" fillId="4" borderId="1" xfId="54" applyFont="1" applyFill="1" applyBorder="1" applyAlignment="1">
      <alignment horizontal="left" vertical="center" wrapText="1"/>
    </xf>
    <xf numFmtId="0" fontId="12" fillId="4" borderId="2" xfId="54" applyFont="1" applyFill="1" applyBorder="1" applyAlignment="1">
      <alignment horizontal="center" vertical="center" wrapText="1"/>
    </xf>
    <xf numFmtId="0" fontId="13" fillId="4" borderId="2" xfId="0" applyFont="1" applyFill="1" applyBorder="1" applyAlignment="1" applyProtection="1">
      <alignment horizontal="left" vertical="center"/>
      <protection locked="0"/>
    </xf>
    <xf numFmtId="1" fontId="1" fillId="0" borderId="3" xfId="54" applyNumberFormat="1" applyFont="1" applyBorder="1" applyAlignment="1">
      <alignment horizontal="left" vertical="top"/>
    </xf>
    <xf numFmtId="0" fontId="1" fillId="0" borderId="4" xfId="54" applyFont="1" applyBorder="1" applyAlignment="1">
      <alignment vertical="top"/>
    </xf>
    <xf numFmtId="0" fontId="6" fillId="0" borderId="4" xfId="0" applyFont="1" applyBorder="1" applyAlignment="1">
      <alignment horizontal="center" vertical="center" wrapText="1"/>
    </xf>
    <xf numFmtId="0" fontId="10" fillId="0" borderId="4" xfId="50" applyFont="1" applyBorder="1" applyAlignment="1">
      <alignment horizontal="left" vertical="top"/>
    </xf>
    <xf numFmtId="0" fontId="14" fillId="0" borderId="5" xfId="0" applyFont="1" applyBorder="1" applyAlignment="1">
      <alignment horizontal="left" vertical="center" readingOrder="1"/>
    </xf>
    <xf numFmtId="0" fontId="14" fillId="0" borderId="5" xfId="0" applyFont="1" applyBorder="1" applyAlignment="1">
      <alignment horizontal="left"/>
    </xf>
    <xf numFmtId="0" fontId="14" fillId="0" borderId="5" xfId="0" applyFont="1" applyBorder="1" applyAlignment="1">
      <alignment horizontal="left" vertical="top"/>
    </xf>
    <xf numFmtId="0" fontId="14" fillId="0" borderId="6" xfId="0" applyFont="1" applyBorder="1" applyAlignment="1">
      <alignment horizontal="left" vertical="center" readingOrder="1"/>
    </xf>
    <xf numFmtId="0" fontId="14" fillId="0" borderId="5" xfId="0" applyFont="1" applyBorder="1" applyAlignment="1">
      <alignment horizontal="left" vertical="center" wrapText="1" readingOrder="1"/>
    </xf>
    <xf numFmtId="0" fontId="14" fillId="0" borderId="6" xfId="0" applyFont="1" applyBorder="1" applyAlignment="1">
      <alignment horizontal="left" vertical="center" wrapText="1" readingOrder="1"/>
    </xf>
    <xf numFmtId="0" fontId="15" fillId="0" borderId="0" xfId="0" applyFont="1"/>
    <xf numFmtId="0" fontId="15" fillId="0" borderId="4" xfId="0" applyFont="1" applyBorder="1"/>
    <xf numFmtId="0" fontId="3" fillId="0" borderId="0" xfId="54" applyFont="1" applyAlignment="1">
      <alignment vertical="top"/>
    </xf>
    <xf numFmtId="0" fontId="1" fillId="0" borderId="0" xfId="0" applyFont="1" applyAlignment="1">
      <alignment vertical="top" wrapText="1"/>
    </xf>
    <xf numFmtId="0" fontId="8" fillId="5" borderId="0" xfId="55" applyFont="1" applyFill="1" applyAlignment="1">
      <alignment horizontal="center" vertical="center"/>
    </xf>
    <xf numFmtId="0" fontId="7" fillId="2" borderId="0" xfId="55" applyFont="1" applyFill="1" applyAlignment="1">
      <alignment horizontal="right" vertical="center"/>
    </xf>
    <xf numFmtId="0" fontId="16" fillId="0" borderId="0" xfId="55" applyFont="1"/>
    <xf numFmtId="0" fontId="10" fillId="0" borderId="0" xfId="49" applyFont="1" applyAlignment="1">
      <alignment vertical="top"/>
    </xf>
    <xf numFmtId="178" fontId="8" fillId="0" borderId="0" xfId="55" applyNumberFormat="1" applyFont="1" applyAlignment="1">
      <alignment horizontal="left" vertical="center"/>
    </xf>
    <xf numFmtId="179" fontId="16" fillId="6" borderId="0" xfId="56" applyNumberFormat="1" applyFont="1" applyFill="1"/>
    <xf numFmtId="179" fontId="16" fillId="7" borderId="0" xfId="56" applyNumberFormat="1" applyFont="1" applyFill="1"/>
    <xf numFmtId="179" fontId="16" fillId="8" borderId="0" xfId="56" applyNumberFormat="1" applyFont="1" applyFill="1"/>
    <xf numFmtId="179" fontId="16" fillId="0" borderId="0" xfId="56" applyNumberFormat="1" applyFont="1" applyFill="1"/>
    <xf numFmtId="0" fontId="13" fillId="4" borderId="7" xfId="0" applyFont="1" applyFill="1" applyBorder="1" applyAlignment="1" applyProtection="1">
      <alignment horizontal="left" vertical="center"/>
      <protection locked="0"/>
    </xf>
    <xf numFmtId="0" fontId="17" fillId="3" borderId="4" xfId="51" applyFont="1" applyFill="1" applyBorder="1" applyAlignment="1">
      <alignment horizontal="center"/>
    </xf>
    <xf numFmtId="0" fontId="17" fillId="0" borderId="4" xfId="0" applyFont="1" applyBorder="1" applyAlignment="1">
      <alignment horizontal="center" vertical="center" wrapText="1"/>
    </xf>
    <xf numFmtId="0" fontId="1" fillId="0" borderId="4" xfId="54" applyFont="1" applyBorder="1" applyAlignment="1">
      <alignment vertical="top" wrapText="1"/>
    </xf>
    <xf numFmtId="0" fontId="1" fillId="0" borderId="8" xfId="54" applyFont="1" applyBorder="1" applyAlignment="1">
      <alignment vertical="top" wrapText="1"/>
    </xf>
  </cellXfs>
  <cellStyles count="57">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10 3" xfId="49"/>
    <cellStyle name="Normal 2" xfId="50"/>
    <cellStyle name="Normal 2 2 2 2" xfId="51"/>
    <cellStyle name="Normal 3 2" xfId="52"/>
    <cellStyle name="Normal 4" xfId="53"/>
    <cellStyle name="Normal 4 2 2 2" xfId="54"/>
    <cellStyle name="Normal 7" xfId="55"/>
    <cellStyle name="Percent 4" xfId="56"/>
  </cellStyles>
  <dxfs count="8">
    <dxf>
      <fill>
        <patternFill patternType="solid">
          <bgColor rgb="FFFF0000"/>
        </patternFill>
      </fill>
    </dxf>
    <dxf>
      <font>
        <b val="0"/>
        <i val="0"/>
      </font>
      <fill>
        <patternFill patternType="solid">
          <bgColor rgb="FFFFC000"/>
        </patternFill>
      </fill>
    </dxf>
    <dxf>
      <font>
        <b val="0"/>
        <i val="0"/>
      </font>
      <fill>
        <patternFill patternType="solid">
          <bgColor rgb="FF92D050"/>
        </patternFill>
      </fill>
    </dxf>
    <dxf>
      <fill>
        <patternFill patternType="solid">
          <bgColor rgb="FFFF9B9B"/>
        </patternFill>
      </fill>
    </dxf>
    <dxf>
      <fill>
        <patternFill patternType="solid">
          <bgColor theme="6" tint="0.399914548173467"/>
        </patternFill>
      </fill>
    </dxf>
    <dxf>
      <fill>
        <patternFill patternType="solid">
          <bgColor theme="4" tint="0.399914548173467"/>
        </patternFill>
      </fill>
    </dxf>
    <dxf>
      <fill>
        <patternFill patternType="solid">
          <bgColor theme="6" tint="0.599963377788629"/>
        </patternFill>
      </fill>
    </dxf>
    <dxf>
      <fill>
        <patternFill patternType="solid">
          <bgColor theme="5" tint="0.39991454817346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TSLibraryIFRS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boladebolumarvelous/Desktop/myfolder/IT%20Due%20Diligence/C:/Mac/Users/aolofinmoyo/Documents/TSLibraryIFRS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boladebolumarvelous/Desktop/myfolder/IT%20Due%20Diligence/C:/Mac/Users/amatebesi/Documents/Work/Golf/Project%20Golf%20-%20Preliminary%20information%20request%20li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boladebolumarvelous/Desktop/myfolder/IT%20Due%20Diligence/C:/Mac/Users/moloye/AppData/Local/Microsoft/Windows/INetCache/Content.Outlook/FIS99S4J/201015_Project%20Marvel_information%20request%20li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et-up"/>
      <sheetName val="Guidance"/>
      <sheetName val="Index"/>
      <sheetName val="Tool1"/>
      <sheetName val="Tool2"/>
      <sheetName val="Time Analysis"/>
      <sheetName val="TS Admin"/>
      <sheetName val="FDD IRL"/>
      <sheetName val="FO1-1"/>
      <sheetName val="FO1-2"/>
      <sheetName val="IS1-1"/>
      <sheetName val="IS1-2"/>
      <sheetName val="IS1-3"/>
      <sheetName val="IS2-1"/>
      <sheetName val="IS2-2"/>
      <sheetName val="IS2-3"/>
      <sheetName val="IS3"/>
      <sheetName val="IS3-1"/>
      <sheetName val="IS10"/>
      <sheetName val="IS11-1"/>
      <sheetName val="IS11-2"/>
      <sheetName val="IS11-3"/>
      <sheetName val="IS11-4"/>
      <sheetName val="IS12"/>
      <sheetName val="IS13-1"/>
      <sheetName val="IS13-2"/>
      <sheetName val="IS14"/>
      <sheetName val="IS15"/>
      <sheetName val="IS16"/>
      <sheetName val="IS20-1"/>
      <sheetName val="IS20-2"/>
      <sheetName val="IS20-3"/>
      <sheetName val="IS20-4"/>
      <sheetName val="IS21"/>
      <sheetName val="IS22"/>
      <sheetName val="IS23"/>
      <sheetName val="IS24"/>
      <sheetName val="IS25"/>
      <sheetName val="IS30"/>
      <sheetName val="IS31"/>
      <sheetName val="IS32"/>
      <sheetName val="IS40"/>
      <sheetName val="IS41"/>
      <sheetName val="IS42"/>
      <sheetName val="IS43-1"/>
      <sheetName val="IS43-2"/>
      <sheetName val="IS44-1"/>
      <sheetName val="IS44-2"/>
      <sheetName val="IS45"/>
      <sheetName val="IS50-1"/>
      <sheetName val="IS50-2"/>
      <sheetName val="IS50-3"/>
      <sheetName val="IS51-1"/>
      <sheetName val="IS51-2"/>
      <sheetName val="IS51-3"/>
      <sheetName val="IS52"/>
      <sheetName val="IS53"/>
      <sheetName val="IS54"/>
      <sheetName val="IS60"/>
      <sheetName val="IS61"/>
      <sheetName val="IS62"/>
      <sheetName val="CF1"/>
      <sheetName val="CF2-1"/>
      <sheetName val="CF2-2"/>
      <sheetName val="CF3"/>
      <sheetName val="CF4"/>
      <sheetName val="CF5"/>
      <sheetName val="CF6"/>
      <sheetName val="CF7"/>
      <sheetName val="CF8"/>
      <sheetName val="CF9"/>
      <sheetName val="BS1-1"/>
      <sheetName val="BS1-2"/>
      <sheetName val="BS1-3"/>
      <sheetName val="BS2"/>
      <sheetName val="BS3"/>
      <sheetName val="BS4"/>
      <sheetName val="BS5"/>
      <sheetName val="BS5-1"/>
      <sheetName val="BS5-2"/>
      <sheetName val="BS5-3"/>
      <sheetName val="BS6"/>
      <sheetName val="BS7"/>
      <sheetName val="BS8"/>
      <sheetName val="BS9"/>
      <sheetName val="BS10"/>
      <sheetName val="BS11"/>
      <sheetName val="BS12"/>
      <sheetName val="BS13"/>
      <sheetName val="BS14"/>
      <sheetName val="BS15"/>
      <sheetName val="BS16"/>
      <sheetName val="BS17"/>
      <sheetName val="WC1"/>
      <sheetName val="WC2"/>
      <sheetName val="WC3"/>
      <sheetName val="WC4-1"/>
      <sheetName val="WC4-2"/>
      <sheetName val="WC4-3"/>
      <sheetName val="WC4-4"/>
      <sheetName val="WC4-5"/>
      <sheetName val="WC4-6"/>
      <sheetName val="WC4-7"/>
      <sheetName val="WC4-8"/>
      <sheetName val="PN1"/>
      <sheetName val="PN2"/>
      <sheetName val="PN3"/>
      <sheetName val="OTH1"/>
      <sheetName val="TEMPLATES ==&gt;"/>
      <sheetName val="Hist PL"/>
      <sheetName val="Fcst PL"/>
      <sheetName val="Bal sheet"/>
      <sheetName val="Monthly"/>
      <sheetName val="IS32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et-up"/>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ta validation"/>
    </sheetNames>
    <sheetDataSet>
      <sheetData sheetId="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DeloitteColors">
  <a:themeElements>
    <a:clrScheme name="Deloitte">
      <a:dk1>
        <a:srgbClr val="000000"/>
      </a:dk1>
      <a:lt1>
        <a:srgbClr val="FFFFFF"/>
      </a:lt1>
      <a:dk2>
        <a:srgbClr val="44546A"/>
      </a:dk2>
      <a:lt2>
        <a:srgbClr val="E7E6E6"/>
      </a:lt2>
      <a:accent1>
        <a:srgbClr val="86BC25"/>
      </a:accent1>
      <a:accent2>
        <a:srgbClr val="046A38"/>
      </a:accent2>
      <a:accent3>
        <a:srgbClr val="62B5E5"/>
      </a:accent3>
      <a:accent4>
        <a:srgbClr val="012169"/>
      </a:accent4>
      <a:accent5>
        <a:srgbClr val="0097A9"/>
      </a:accent5>
      <a:accent6>
        <a:srgbClr val="75787B"/>
      </a:accent6>
      <a:hlink>
        <a:srgbClr val="00A3E0"/>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499984740745262"/>
    <pageSetUpPr fitToPage="1"/>
  </sheetPr>
  <dimension ref="A1:H34"/>
  <sheetViews>
    <sheetView showGridLines="0" tabSelected="1" workbookViewId="0">
      <pane ySplit="15" topLeftCell="A27" activePane="bottomLeft" state="frozen"/>
      <selection/>
      <selection pane="bottomLeft" activeCell="C7" sqref="C7"/>
    </sheetView>
  </sheetViews>
  <sheetFormatPr defaultColWidth="12.5576923076923" defaultRowHeight="13.6" outlineLevelCol="7"/>
  <cols>
    <col min="1" max="1" width="2.44230769230769" style="5" customWidth="1"/>
    <col min="2" max="2" width="7.44230769230769" style="5" customWidth="1"/>
    <col min="3" max="3" width="116.442307692308" style="6" customWidth="1"/>
    <col min="4" max="4" width="21.4423076923077" style="6" customWidth="1"/>
    <col min="5" max="5" width="21.4423076923077" style="7" customWidth="1"/>
    <col min="6" max="6" width="21.4423076923077" style="6" customWidth="1"/>
    <col min="7" max="8" width="39.4423076923077" style="5" customWidth="1"/>
    <col min="9" max="16384" width="12.5576923076923" style="5"/>
  </cols>
  <sheetData>
    <row r="1" s="1" customFormat="1" ht="12" customHeight="1" spans="1:1">
      <c r="A1" s="8" t="str">
        <f ca="1">IFERROR(MID(CELL("filename",A1),FIND("]",CELL("filename",A1))+1,255),"&lt; Save workbook to show tab name &gt;")</f>
        <v>ITDD (Stratum)</v>
      </c>
    </row>
    <row r="2" s="2" customFormat="1" ht="12" customHeight="1" spans="1:8">
      <c r="A2" s="1" t="s">
        <v>0</v>
      </c>
      <c r="B2" s="9"/>
      <c r="C2" s="9"/>
      <c r="D2" s="9"/>
      <c r="E2" s="9"/>
      <c r="F2" s="9"/>
      <c r="G2" s="9"/>
      <c r="H2" s="9"/>
    </row>
    <row r="3" s="2" customFormat="1" ht="12" customHeight="1" spans="1:8">
      <c r="A3" s="1"/>
      <c r="B3" s="9"/>
      <c r="C3" s="9"/>
      <c r="D3" s="9"/>
      <c r="E3" s="9"/>
      <c r="F3" s="9"/>
      <c r="G3" s="9"/>
      <c r="H3" s="9"/>
    </row>
    <row r="4" s="3" customFormat="1" spans="2:8">
      <c r="B4" s="10" t="s">
        <v>1</v>
      </c>
      <c r="C4" s="11"/>
      <c r="D4" s="11"/>
      <c r="E4" s="36"/>
      <c r="F4" s="36"/>
      <c r="G4" s="11"/>
      <c r="H4" s="36"/>
    </row>
    <row r="5" s="3" customFormat="1" ht="37" customHeight="1" spans="2:8">
      <c r="B5" s="12" t="s">
        <v>2</v>
      </c>
      <c r="C5" s="12"/>
      <c r="D5" s="12"/>
      <c r="E5" s="12"/>
      <c r="F5" s="12"/>
      <c r="G5" s="12"/>
      <c r="H5" s="12"/>
    </row>
    <row r="6" s="3" customFormat="1" spans="2:8">
      <c r="B6" s="12"/>
      <c r="C6" s="12"/>
      <c r="D6" s="12"/>
      <c r="E6" s="12"/>
      <c r="F6" s="12"/>
      <c r="G6" s="12"/>
      <c r="H6" s="36"/>
    </row>
    <row r="7" s="3" customFormat="1" ht="14.4" spans="2:8">
      <c r="B7" s="12"/>
      <c r="C7" s="13" t="s">
        <v>3</v>
      </c>
      <c r="D7" s="14" t="s">
        <v>4</v>
      </c>
      <c r="E7" s="37" t="s">
        <v>5</v>
      </c>
      <c r="F7" s="38" t="s">
        <v>6</v>
      </c>
      <c r="G7" s="39"/>
      <c r="H7" s="36"/>
    </row>
    <row r="8" s="3" customFormat="1" ht="14.4" spans="2:8">
      <c r="B8" s="12"/>
      <c r="C8" s="15" t="s">
        <v>7</v>
      </c>
      <c r="D8" s="16"/>
      <c r="E8" s="40"/>
      <c r="F8" s="41">
        <f>COUNT(B16:B33)</f>
        <v>18</v>
      </c>
      <c r="G8" s="39"/>
      <c r="H8" s="36"/>
    </row>
    <row r="9" ht="14.4" spans="3:7">
      <c r="C9" s="15" t="s">
        <v>8</v>
      </c>
      <c r="D9" s="17">
        <f>COUNTIFS(E16:E33,"High",F16:F33,"Closed")</f>
        <v>0</v>
      </c>
      <c r="E9" s="17">
        <f>COUNTIFS(E17:E117,"Medium",F17:F117,"Closed")</f>
        <v>0</v>
      </c>
      <c r="F9" s="41">
        <f>SUM(D9:E9)</f>
        <v>0</v>
      </c>
      <c r="G9" s="42">
        <f>F9/F8</f>
        <v>0</v>
      </c>
    </row>
    <row r="10" ht="14.4" spans="3:7">
      <c r="C10" s="15" t="s">
        <v>9</v>
      </c>
      <c r="D10" s="17">
        <f>COUNTIFS(E16:E33,"High",F16:F33,"Partial")</f>
        <v>0</v>
      </c>
      <c r="E10" s="17">
        <f>COUNTIFS(E16:E33,"Medium",F16:F33,"Partial")</f>
        <v>0</v>
      </c>
      <c r="F10" s="41">
        <f>SUM(D10:E10)</f>
        <v>0</v>
      </c>
      <c r="G10" s="43">
        <f>F10/F8</f>
        <v>0</v>
      </c>
    </row>
    <row r="11" ht="14.4" spans="3:7">
      <c r="C11" s="18" t="s">
        <v>10</v>
      </c>
      <c r="D11" s="17">
        <f>COUNTIFS(E16:E33,"High",F16:F33,"Open")</f>
        <v>18</v>
      </c>
      <c r="E11" s="17">
        <f>COUNTIFS(E16:E33,"Medium",F16:F33,"Open")</f>
        <v>0</v>
      </c>
      <c r="F11" s="41">
        <f>SUM(D11:E11)</f>
        <v>18</v>
      </c>
      <c r="G11" s="44">
        <f>F11/F8</f>
        <v>1</v>
      </c>
    </row>
    <row r="12" ht="14.4" spans="3:7">
      <c r="C12" s="18"/>
      <c r="D12" s="17"/>
      <c r="E12" s="17"/>
      <c r="F12" s="41"/>
      <c r="G12" s="45"/>
    </row>
    <row r="13" ht="14.4" spans="2:7">
      <c r="B13" s="19" t="s">
        <v>11</v>
      </c>
      <c r="C13" s="18"/>
      <c r="D13" s="17"/>
      <c r="E13" s="17"/>
      <c r="F13" s="41"/>
      <c r="G13" s="45"/>
    </row>
    <row r="14" ht="14.35"/>
    <row r="15" s="4" customFormat="1" ht="14" spans="2:8">
      <c r="B15" s="20" t="s">
        <v>12</v>
      </c>
      <c r="C15" s="21" t="s">
        <v>13</v>
      </c>
      <c r="D15" s="22" t="s">
        <v>14</v>
      </c>
      <c r="E15" s="21" t="s">
        <v>15</v>
      </c>
      <c r="F15" s="22" t="s">
        <v>3</v>
      </c>
      <c r="G15" s="46" t="s">
        <v>16</v>
      </c>
      <c r="H15" s="46" t="s">
        <v>17</v>
      </c>
    </row>
    <row r="16" ht="14" spans="2:8">
      <c r="B16" s="23">
        <v>1</v>
      </c>
      <c r="C16" s="24" t="s">
        <v>18</v>
      </c>
      <c r="D16" s="25" t="s">
        <v>19</v>
      </c>
      <c r="E16" s="47" t="s">
        <v>20</v>
      </c>
      <c r="F16" s="48" t="s">
        <v>10</v>
      </c>
      <c r="G16" s="49"/>
      <c r="H16" s="50"/>
    </row>
    <row r="17" ht="14" spans="2:8">
      <c r="B17" s="23">
        <f>B16+1</f>
        <v>2</v>
      </c>
      <c r="C17" s="24" t="s">
        <v>21</v>
      </c>
      <c r="D17" s="25" t="s">
        <v>19</v>
      </c>
      <c r="E17" s="47" t="s">
        <v>20</v>
      </c>
      <c r="F17" s="48" t="s">
        <v>10</v>
      </c>
      <c r="G17" s="49"/>
      <c r="H17" s="50"/>
    </row>
    <row r="18" ht="14.4" spans="2:8">
      <c r="B18" s="23">
        <v>2</v>
      </c>
      <c r="C18" s="26" t="s">
        <v>22</v>
      </c>
      <c r="D18" s="25" t="s">
        <v>19</v>
      </c>
      <c r="E18" s="47" t="s">
        <v>20</v>
      </c>
      <c r="F18" s="48" t="s">
        <v>10</v>
      </c>
      <c r="G18" s="49"/>
      <c r="H18" s="50"/>
    </row>
    <row r="19" ht="14" spans="2:8">
      <c r="B19" s="23">
        <f t="shared" ref="B19" si="0">B18+1</f>
        <v>3</v>
      </c>
      <c r="C19" s="24" t="s">
        <v>23</v>
      </c>
      <c r="D19" s="25" t="s">
        <v>19</v>
      </c>
      <c r="E19" s="47" t="s">
        <v>20</v>
      </c>
      <c r="F19" s="48" t="s">
        <v>10</v>
      </c>
      <c r="G19" s="49"/>
      <c r="H19" s="50"/>
    </row>
    <row r="20" ht="14.4" spans="2:8">
      <c r="B20" s="23">
        <v>3</v>
      </c>
      <c r="C20" s="27" t="s">
        <v>24</v>
      </c>
      <c r="D20" s="25" t="s">
        <v>19</v>
      </c>
      <c r="E20" s="47" t="s">
        <v>20</v>
      </c>
      <c r="F20" s="48" t="s">
        <v>10</v>
      </c>
      <c r="G20" s="49"/>
      <c r="H20" s="50"/>
    </row>
    <row r="21" ht="14.4" spans="2:8">
      <c r="B21" s="23">
        <f t="shared" ref="B21" si="1">B20+1</f>
        <v>4</v>
      </c>
      <c r="C21" s="27" t="s">
        <v>25</v>
      </c>
      <c r="D21" s="25" t="s">
        <v>19</v>
      </c>
      <c r="E21" s="47" t="s">
        <v>20</v>
      </c>
      <c r="F21" s="48" t="s">
        <v>10</v>
      </c>
      <c r="G21" s="49"/>
      <c r="H21" s="50"/>
    </row>
    <row r="22" ht="14.4" spans="2:8">
      <c r="B22" s="23">
        <v>4</v>
      </c>
      <c r="C22" s="27" t="s">
        <v>26</v>
      </c>
      <c r="D22" s="25" t="s">
        <v>19</v>
      </c>
      <c r="E22" s="47" t="s">
        <v>20</v>
      </c>
      <c r="F22" s="48" t="s">
        <v>10</v>
      </c>
      <c r="G22" s="49"/>
      <c r="H22" s="50"/>
    </row>
    <row r="23" ht="14.4" spans="2:8">
      <c r="B23" s="23">
        <f t="shared" ref="B23" si="2">B22+1</f>
        <v>5</v>
      </c>
      <c r="C23" s="27" t="s">
        <v>27</v>
      </c>
      <c r="D23" s="25" t="s">
        <v>19</v>
      </c>
      <c r="E23" s="47" t="s">
        <v>20</v>
      </c>
      <c r="F23" s="48" t="s">
        <v>10</v>
      </c>
      <c r="G23" s="49"/>
      <c r="H23" s="50"/>
    </row>
    <row r="24" ht="14.4" spans="2:8">
      <c r="B24" s="23">
        <v>5</v>
      </c>
      <c r="C24" s="28" t="s">
        <v>28</v>
      </c>
      <c r="D24" s="25" t="s">
        <v>19</v>
      </c>
      <c r="E24" s="47" t="s">
        <v>20</v>
      </c>
      <c r="F24" s="48" t="s">
        <v>10</v>
      </c>
      <c r="G24" s="49"/>
      <c r="H24" s="50"/>
    </row>
    <row r="25" ht="14.4" spans="2:8">
      <c r="B25" s="23">
        <f t="shared" ref="B25" si="3">B24+1</f>
        <v>6</v>
      </c>
      <c r="C25" s="29" t="s">
        <v>29</v>
      </c>
      <c r="D25" s="25" t="s">
        <v>19</v>
      </c>
      <c r="E25" s="47" t="s">
        <v>20</v>
      </c>
      <c r="F25" s="48" t="s">
        <v>10</v>
      </c>
      <c r="G25" s="49"/>
      <c r="H25" s="50"/>
    </row>
    <row r="26" ht="14" spans="2:8">
      <c r="B26" s="23">
        <v>6</v>
      </c>
      <c r="C26" s="24" t="s">
        <v>30</v>
      </c>
      <c r="D26" s="25" t="s">
        <v>19</v>
      </c>
      <c r="E26" s="47" t="s">
        <v>20</v>
      </c>
      <c r="F26" s="48" t="s">
        <v>10</v>
      </c>
      <c r="G26" s="49"/>
      <c r="H26" s="50"/>
    </row>
    <row r="27" ht="14.4" spans="2:8">
      <c r="B27" s="23">
        <f t="shared" ref="B27" si="4">B26+1</f>
        <v>7</v>
      </c>
      <c r="C27" s="30" t="s">
        <v>31</v>
      </c>
      <c r="D27" s="25" t="s">
        <v>19</v>
      </c>
      <c r="E27" s="47" t="s">
        <v>20</v>
      </c>
      <c r="F27" s="48" t="s">
        <v>10</v>
      </c>
      <c r="G27" s="49"/>
      <c r="H27" s="50"/>
    </row>
    <row r="28" ht="14.4" spans="2:8">
      <c r="B28" s="23">
        <v>7</v>
      </c>
      <c r="C28" s="30" t="s">
        <v>32</v>
      </c>
      <c r="D28" s="25" t="s">
        <v>19</v>
      </c>
      <c r="E28" s="47" t="s">
        <v>20</v>
      </c>
      <c r="F28" s="48" t="s">
        <v>10</v>
      </c>
      <c r="G28" s="49"/>
      <c r="H28" s="50"/>
    </row>
    <row r="29" ht="29" spans="2:8">
      <c r="B29" s="23">
        <f t="shared" ref="B29" si="5">B28+1</f>
        <v>8</v>
      </c>
      <c r="C29" s="31" t="s">
        <v>33</v>
      </c>
      <c r="D29" s="25" t="s">
        <v>19</v>
      </c>
      <c r="E29" s="47" t="s">
        <v>20</v>
      </c>
      <c r="F29" s="48" t="s">
        <v>10</v>
      </c>
      <c r="G29" s="49"/>
      <c r="H29" s="50"/>
    </row>
    <row r="30" ht="15" spans="2:8">
      <c r="B30" s="23">
        <v>8</v>
      </c>
      <c r="C30" s="32" t="s">
        <v>34</v>
      </c>
      <c r="D30" s="25" t="s">
        <v>19</v>
      </c>
      <c r="E30" s="47" t="s">
        <v>20</v>
      </c>
      <c r="F30" s="48" t="s">
        <v>10</v>
      </c>
      <c r="G30" s="49"/>
      <c r="H30" s="50"/>
    </row>
    <row r="31" ht="15" spans="2:8">
      <c r="B31" s="23">
        <f t="shared" ref="B31" si="6">B30+1</f>
        <v>9</v>
      </c>
      <c r="C31" s="32" t="s">
        <v>35</v>
      </c>
      <c r="D31" s="25" t="s">
        <v>19</v>
      </c>
      <c r="E31" s="47" t="s">
        <v>20</v>
      </c>
      <c r="F31" s="48" t="s">
        <v>10</v>
      </c>
      <c r="G31" s="49"/>
      <c r="H31" s="50"/>
    </row>
    <row r="32" ht="14.4" spans="2:8">
      <c r="B32" s="23">
        <v>9</v>
      </c>
      <c r="C32" s="33" t="s">
        <v>36</v>
      </c>
      <c r="D32" s="25" t="s">
        <v>19</v>
      </c>
      <c r="E32" s="47" t="s">
        <v>20</v>
      </c>
      <c r="F32" s="48" t="s">
        <v>10</v>
      </c>
      <c r="G32" s="49"/>
      <c r="H32" s="50"/>
    </row>
    <row r="33" ht="14.4" spans="2:8">
      <c r="B33" s="23">
        <f t="shared" ref="B33" si="7">B32+1</f>
        <v>10</v>
      </c>
      <c r="C33" s="34" t="s">
        <v>37</v>
      </c>
      <c r="D33" s="25" t="s">
        <v>19</v>
      </c>
      <c r="E33" s="47" t="s">
        <v>20</v>
      </c>
      <c r="F33" s="48" t="s">
        <v>10</v>
      </c>
      <c r="G33" s="49"/>
      <c r="H33" s="50" t="s">
        <v>38</v>
      </c>
    </row>
    <row r="34" spans="2:2">
      <c r="B34" s="35"/>
    </row>
  </sheetData>
  <mergeCells count="1">
    <mergeCell ref="B5:H5"/>
  </mergeCells>
  <conditionalFormatting sqref="F17:F33">
    <cfRule type="containsText" dxfId="0" priority="7" operator="between" text="Outstanding">
      <formula>NOT(ISERROR(SEARCH("Outstanding",F17)))</formula>
    </cfRule>
    <cfRule type="containsText" dxfId="1" priority="8" operator="between" text="Ongoing">
      <formula>NOT(ISERROR(SEARCH("Ongoing",F17)))</formula>
    </cfRule>
    <cfRule type="containsText" dxfId="2" priority="9" operator="between" text="Complete">
      <formula>NOT(ISERROR(SEARCH("Complete",F17)))</formula>
    </cfRule>
  </conditionalFormatting>
  <conditionalFormatting sqref="D8:D10 F16:F33">
    <cfRule type="containsText" dxfId="3" priority="1" operator="between" text="Open">
      <formula>NOT(ISERROR(SEARCH("Open",D8)))</formula>
    </cfRule>
    <cfRule type="containsText" dxfId="4" priority="2" operator="between" text="Partial">
      <formula>NOT(ISERROR(SEARCH("Partial",D8)))</formula>
    </cfRule>
    <cfRule type="containsText" dxfId="5" priority="3" operator="between" text="Closed">
      <formula>NOT(ISERROR(SEARCH("Closed",D8)))</formula>
    </cfRule>
  </conditionalFormatting>
  <conditionalFormatting sqref="F14 F34:F1048576">
    <cfRule type="containsText" dxfId="6" priority="10" operator="between" text="Partially received">
      <formula>NOT(ISERROR(SEARCH("Partially received",F14)))</formula>
    </cfRule>
    <cfRule type="containsText" dxfId="7" priority="11" operator="between" text="Open">
      <formula>NOT(ISERROR(SEARCH("Open",F14)))</formula>
    </cfRule>
  </conditionalFormatting>
  <dataValidations count="1">
    <dataValidation type="list" allowBlank="1" showInputMessage="1" showErrorMessage="1" sqref="F16:F33">
      <formula1>"Open, Partial, Closed"</formula1>
    </dataValidation>
  </dataValidations>
  <pageMargins left="0.708661417322835" right="0.708661417322835" top="0.748031496062992" bottom="0.748031496062992" header="0.31496062992126" footer="0.31496062992126"/>
  <pageSetup paperSize="9" scale="40" fitToHeight="2"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ITDD (Stratum)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Romanus Eke</dc:creator>
  <cp:lastModifiedBy>aboladebolumarvelous</cp:lastModifiedBy>
  <dcterms:created xsi:type="dcterms:W3CDTF">2025-10-20T14:08:00Z</dcterms:created>
  <dcterms:modified xsi:type="dcterms:W3CDTF">2026-03-25T08:28:32Z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07C0B2A63E430F2EA08EC3692BE7F72D_42</vt:lpwstr>
  </property>
  <property fmtid="{D5CDD505-2E9C-101B-9397-08002B2CF9AE}" pid="3" name="KSOProductBuildVer">
    <vt:lpwstr>1033-12.1.23155.23155</vt:lpwstr>
  </property>
</Properties>
</file>